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 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<sst xmlns="http://schemas.openxmlformats.org/spreadsheetml/2006/main" count="28" uniqueCount="28">
  <si>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PARG inhibitor prediction - model comparison</t>
  </si>
  <si>
    <t xml:space="preserve">Target: pChEMBL value (regression). 870 compounds, 323 Murcko scaffolds. All scaffold-split results on the SAME 260 test compounds.</t>
  </si>
  <si>
    <t xml:space="preserve">Model</t>
  </si>
  <si>
    <t xml:space="preserve">Representation</t>
  </si>
  <si>
    <t xml:space="preserve">RMSE random</t>
  </si>
  <si>
    <t xml:space="preserve">RMSE scaffold</t>
  </si>
  <si>
    <t xml:space="preserve">R2 scaffold</t>
  </si>
  <si>
    <t xml:space="preserve">vs baseline</t>
  </si>
  <si>
    <t xml:space="preserve">Notes</t>
  </si>
  <si>
    <t xml:space="preserve">Mean predictor</t>
  </si>
  <si>
    <t xml:space="preserve">none</t>
  </si>
  <si>
    <t xml:space="preserve">Predicts the training mean for every compound. The floor.</t>
  </si>
  <si>
    <t xml:space="preserve">Tanimoto similarity</t>
  </si>
  <si>
    <t xml:space="preserve">ECFP4 (Morgan r=2, 2048 bit)</t>
  </si>
  <si>
    <t xml:space="preserve">5 nearest training neighbours, similarity weighted. THE BASELINE TO BEAT.</t>
  </si>
  <si>
    <t xml:space="preserve">Chemprop D-MPNN</t>
  </si>
  <si>
    <t xml:space="preserve">learned molecular graph</t>
  </si>
  <si>
    <t xml:space="preserve">318K parameters. Lands exactly on the similarity baseline - the graph network adds nothing on this dataset. Single run: a fixed splits file overrides --num-replicates, so no error bar. An earlier run on Chemprop's OWN n=174 split gave 0.467 +/- 0.030; that was an easier test set, not a better model.</t>
  </si>
  <si>
    <t xml:space="preserve">LightGBM</t>
  </si>
  <si>
    <t xml:space="preserve">ECFP4 + 217 RDKit descriptors</t>
  </si>
  <si>
    <t xml:space="preserve">BEST MODEL. 500 trees, lr 0.05, 31 leaves. Deterministic given a fixed split, so seed-to-seed SD is 0.000 and is not comparable to a neural net's training variance.</t>
  </si>
  <si>
    <t xml:space="preserve">Lower RMSE is better. 'vs baseline' = improvement in scaffold-split RMSE over the Tanimoto row (D6).</t>
  </si>
  <si>
    <t xml:space="preserve">FINDING 1: LightGBM beats the similarity baseline by 12.6% on identical test data.</t>
  </si>
  <si>
    <t xml:space="preserve">FINDING 2: The graph neural network does NOT beat nearest-neighbour similarity search (0.510 vs 0.509). Worth reporting - most published ML-VS studies omit this comparison.</t>
  </si>
  <si>
    <t xml:space="preserve">FINDING 3: Chemprop's apparent 0.467 came from a different, easier test set. Matched evaluation removed the advantage entirely.</t>
  </si>
  <si>
    <t xml:space="preserve">CAVEAT: the matched Chemprop number is a single run. For publication, rerun 3x with different --pytorch-seed values to get an error bar.</t>
  </si>
  <si>
    <t xml:space="preserve">The random-to-scaffold gap (LightGBM 0.338 -&gt; 0.445) is the cost of predicting unseen chemistry. Report both splits.</t>
  </si>
  <si>
    <t xml:space="preserve">Source: ChEMBL CHEMBL1795143, accessed 14 Oct 2026. RDKit 2026.3.6, Chemprop 2.3.1, LightGBM 4.7.0, Python 3.11.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</si>
</sst>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%;\(0.0%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9"/>
      <color rgb="FF375623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2EFDA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7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0.738</v>
      </c>
      <c r="D5" s="5" t="n">
        <v>0.801</v>
      </c>
      <c r="E5" s="5" t="n">
        <v>0</v>
      </c>
      <c r="F5" s="6" t="n">
        <f aca="false">IF(D5="","",IFERROR((D$6-D5)/D$6,""))</f>
        <v>-0.573673870333988</v>
      </c>
      <c r="G5" s="7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5" t="n">
        <v>0.411</v>
      </c>
      <c r="D6" s="5" t="n">
        <v>0.509</v>
      </c>
      <c r="E6" s="5" t="n">
        <v>0.561</v>
      </c>
      <c r="F6" s="6" t="n">
        <f aca="false">IF(D6="","",IFERROR((D$6-D6)/D$6,""))</f>
        <v>0</v>
      </c>
      <c r="G6" s="7" t="s">
        <v>14</v>
      </c>
    </row>
    <row r="7" customFormat="false" ht="46.25" hidden="false" customHeight="false" outlineLevel="0" collapsed="false">
      <c r="A7" s="4" t="s">
        <v>15</v>
      </c>
      <c r="B7" s="4" t="s">
        <v>16</v>
      </c>
      <c r="C7" s="5"/>
      <c r="D7" s="5" t="n">
        <v>0.51</v>
      </c>
      <c r="E7" s="5" t="n">
        <v>0.56</v>
      </c>
      <c r="F7" s="6" t="n">
        <f aca="false">IF(D7="","",IFERROR((D$6-D7)/D$6,""))</f>
        <v>-0.00196463654223969</v>
      </c>
      <c r="G7" s="7" t="s">
        <v>17</v>
      </c>
    </row>
    <row r="8" customFormat="false" ht="23.85" hidden="false" customHeight="false" outlineLevel="0" collapsed="false">
      <c r="A8" s="8" t="s">
        <v>18</v>
      </c>
      <c r="B8" s="9" t="s">
        <v>19</v>
      </c>
      <c r="C8" s="10" t="n">
        <v>0.338</v>
      </c>
      <c r="D8" s="11" t="n">
        <v>0.445</v>
      </c>
      <c r="E8" s="11" t="n">
        <v>0.664</v>
      </c>
      <c r="F8" s="12" t="n">
        <f aca="false">IF(D8="","",IFERROR((D$6-D8)/D$6,""))</f>
        <v>0.12573673870334</v>
      </c>
      <c r="G8" s="13" t="s">
        <v>20</v>
      </c>
    </row>
    <row r="10" customFormat="false" ht="15" hidden="false" customHeight="false" outlineLevel="0" collapsed="false">
      <c r="A10" s="14" t="s">
        <v>21</v>
      </c>
    </row>
    <row r="11" customFormat="false" ht="15" hidden="false" customHeight="false" outlineLevel="0" collapsed="false">
      <c r="A11" s="15" t="s">
        <v>22</v>
      </c>
    </row>
    <row r="12" customFormat="false" ht="15" hidden="false" customHeight="false" outlineLevel="0" collapsed="false">
      <c r="A12" s="15" t="s">
        <v>23</v>
      </c>
    </row>
    <row r="13" customFormat="false" ht="15" hidden="false" customHeight="false" outlineLevel="0" collapsed="false">
      <c r="A13" s="16" t="s">
        <v>24</v>
      </c>
    </row>
    <row r="14" customFormat="false" ht="15" hidden="false" customHeight="false" outlineLevel="0" collapsed="false">
      <c r="A14" s="16" t="s">
        <v>25</v>
      </c>
    </row>
    <row r="15" customFormat="false" ht="15" hidden="false" customHeight="false" outlineLevel="0" collapsed="false">
      <c r="A15" s="14" t="s">
        <v>26</v>
      </c>
    </row>
    <row r="16" customFormat="false" ht="15" hidden="false" customHeight="false" outlineLevel="0" collapsed="false">
      <c r="A16" s="14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2026-10-15T05:43:12Z</dcterms:created>
  <dc:creator>openpyxl</dc:creator>
  <dc:description/>
  <dc:language>en-US</dc:language>
  <cp:lastModifiedBy/>
  <dcterms:modified xsi:type="dcterms:W3CDTF">2026-10-15T05:43:12Z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